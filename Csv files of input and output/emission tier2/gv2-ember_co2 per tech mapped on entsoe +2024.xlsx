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My Files\PSE lab\Thesis\Data\ML\GRID\data-spain\GV2\emission tier2\"/>
    </mc:Choice>
  </mc:AlternateContent>
  <xr:revisionPtr revIDLastSave="0" documentId="13_ncr:1_{F392E2CA-07F2-4310-8763-B906C3616CEC}" xr6:coauthVersionLast="47" xr6:coauthVersionMax="47" xr10:uidLastSave="{00000000-0000-0000-0000-000000000000}"/>
  <bookViews>
    <workbookView xWindow="20370" yWindow="-120" windowWidth="242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F27" i="1"/>
  <c r="D31" i="1"/>
  <c r="D30" i="1"/>
  <c r="C31" i="1"/>
  <c r="C30" i="1"/>
  <c r="B31" i="1"/>
  <c r="B30" i="1"/>
  <c r="E20" i="1"/>
  <c r="E21" i="1"/>
  <c r="E22" i="1"/>
  <c r="E23" i="1"/>
  <c r="E24" i="1"/>
  <c r="E25" i="1"/>
  <c r="E26" i="1"/>
  <c r="E1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<sst xmlns="http://schemas.openxmlformats.org/spreadsheetml/2006/main" count="58" uniqueCount="40">
  <si>
    <t>Year</t>
  </si>
  <si>
    <t>Variable</t>
  </si>
  <si>
    <t>Gen (TWh)</t>
  </si>
  <si>
    <t>emission(MtCO2e)</t>
  </si>
  <si>
    <t>EF (kgCo2/MWh)</t>
  </si>
  <si>
    <t>tech code from ember</t>
  </si>
  <si>
    <t>tech predciton from tier 1</t>
  </si>
  <si>
    <t>Bioenergy</t>
  </si>
  <si>
    <t>gen_biomass_mw</t>
  </si>
  <si>
    <t>Gas</t>
  </si>
  <si>
    <t>gen_fossil_gas_mw</t>
  </si>
  <si>
    <t>Hard coal</t>
  </si>
  <si>
    <t>gen_hydro_run_of_river_mw</t>
  </si>
  <si>
    <t>Hydro</t>
  </si>
  <si>
    <t>gen_nuclear_mw</t>
  </si>
  <si>
    <t>Nuclear</t>
  </si>
  <si>
    <t>gen_solar_mw</t>
  </si>
  <si>
    <t>Onshore wind</t>
  </si>
  <si>
    <t>gen_wind_onshore_mw</t>
  </si>
  <si>
    <t>Other fossil</t>
  </si>
  <si>
    <t>gen_waste_mw</t>
  </si>
  <si>
    <t>Solar</t>
  </si>
  <si>
    <t>we don’t know, we take 1</t>
  </si>
  <si>
    <t>gen_other_mw</t>
  </si>
  <si>
    <t>gen_other_renewable_mw</t>
  </si>
  <si>
    <t>gen_hydro_dispatchable_mw</t>
  </si>
  <si>
    <t>gen_fossil_coal_oil_mw</t>
  </si>
  <si>
    <t>tech code</t>
  </si>
  <si>
    <t>actual but we don’t use this</t>
  </si>
  <si>
    <t>averaged from past periods for 2024</t>
  </si>
  <si>
    <t>coal&amp;oil</t>
  </si>
  <si>
    <t>?</t>
  </si>
  <si>
    <t>AVERAGE VALUES ARE CLOSE TO ACTAUL ONES</t>
  </si>
  <si>
    <t>generated</t>
  </si>
  <si>
    <t>coal+oil gen</t>
  </si>
  <si>
    <t>coal+oil emission</t>
  </si>
  <si>
    <t>EF coal+oil</t>
  </si>
  <si>
    <t>average of 8 and 6 of same year&gt;&gt;&gt;&gt;</t>
  </si>
  <si>
    <t>oil</t>
  </si>
  <si>
    <t>other fossil=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</si>
</sst>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D31" sqref="D31"/>
    </sheetView>
  </sheetViews>
  <sheetFormatPr defaultRowHeight="15" x14ac:dyDescent="0.25"/>
  <cols>
    <col min="1" max="1" width="12.85546875" customWidth="1"/>
    <col min="2" max="2" width="16.28515625" customWidth="1"/>
    <col min="3" max="3" width="16.5703125" customWidth="1"/>
    <col min="4" max="4" width="22.140625" customWidth="1"/>
    <col min="5" max="5" width="26.28515625" customWidth="1"/>
    <col min="6" max="6" width="25.28515625" customWidth="1"/>
    <col min="7" max="7" width="26.140625" customWidth="1"/>
    <col min="8" max="8" width="22.28515625" customWidth="1"/>
    <col min="9" max="9" width="29.855468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/>
      <c r="H1" s="3" t="s">
        <v>5</v>
      </c>
      <c r="I1" s="3" t="s">
        <v>6</v>
      </c>
    </row>
    <row r="2" spans="1:9" x14ac:dyDescent="0.25">
      <c r="A2" s="7">
        <v>2022</v>
      </c>
      <c r="B2" s="8" t="s">
        <v>7</v>
      </c>
      <c r="C2" s="8">
        <v>6.8</v>
      </c>
      <c r="D2" s="8">
        <v>1.47</v>
      </c>
      <c r="E2" s="9">
        <f>(D2*1000)/C2</f>
        <v>216.1764705882353</v>
      </c>
      <c r="F2" s="1"/>
      <c r="G2" s="1"/>
      <c r="H2" s="24">
        <v>1</v>
      </c>
      <c r="I2" s="25" t="s">
        <v>8</v>
      </c>
    </row>
    <row r="3" spans="1:9" x14ac:dyDescent="0.25">
      <c r="A3" s="10">
        <v>2022</v>
      </c>
      <c r="B3" s="11" t="s">
        <v>9</v>
      </c>
      <c r="C3" s="11">
        <v>86.1</v>
      </c>
      <c r="D3" s="11">
        <v>42.45</v>
      </c>
      <c r="E3" s="12">
        <f t="shared" ref="E3:E17" si="0">(D3*1000)/C3</f>
        <v>493.03135888501748</v>
      </c>
      <c r="F3" s="1"/>
      <c r="G3" s="1"/>
      <c r="H3" s="26">
        <v>2</v>
      </c>
      <c r="I3" s="27" t="s">
        <v>10</v>
      </c>
    </row>
    <row r="4" spans="1:9" x14ac:dyDescent="0.25">
      <c r="A4" s="10">
        <v>2022</v>
      </c>
      <c r="B4" s="11" t="s">
        <v>11</v>
      </c>
      <c r="C4" s="11">
        <v>7.86</v>
      </c>
      <c r="D4" s="11">
        <v>7.57</v>
      </c>
      <c r="E4" s="12">
        <f t="shared" si="0"/>
        <v>963.10432569974546</v>
      </c>
      <c r="F4" s="1"/>
      <c r="G4" s="1"/>
      <c r="H4" s="26">
        <v>4</v>
      </c>
      <c r="I4" s="27" t="s">
        <v>12</v>
      </c>
    </row>
    <row r="5" spans="1:9" x14ac:dyDescent="0.25">
      <c r="A5" s="10">
        <v>2022</v>
      </c>
      <c r="B5" s="11" t="s">
        <v>13</v>
      </c>
      <c r="C5" s="11">
        <v>17.59</v>
      </c>
      <c r="D5" s="11">
        <v>0.42</v>
      </c>
      <c r="E5" s="12">
        <f t="shared" si="0"/>
        <v>23.87720295622513</v>
      </c>
      <c r="F5" s="1"/>
      <c r="G5" s="1"/>
      <c r="H5" s="26">
        <v>5</v>
      </c>
      <c r="I5" s="27" t="s">
        <v>14</v>
      </c>
    </row>
    <row r="6" spans="1:9" x14ac:dyDescent="0.25">
      <c r="A6" s="10">
        <v>2022</v>
      </c>
      <c r="B6" s="11" t="s">
        <v>15</v>
      </c>
      <c r="C6" s="11">
        <v>58.59</v>
      </c>
      <c r="D6" s="11">
        <v>0.28000000000000003</v>
      </c>
      <c r="E6" s="12">
        <f t="shared" si="0"/>
        <v>4.7789725209080043</v>
      </c>
      <c r="F6" s="1"/>
      <c r="G6" s="1"/>
      <c r="H6" s="26">
        <v>8</v>
      </c>
      <c r="I6" s="27" t="s">
        <v>16</v>
      </c>
    </row>
    <row r="7" spans="1:9" x14ac:dyDescent="0.25">
      <c r="A7" s="10">
        <v>2022</v>
      </c>
      <c r="B7" s="11" t="s">
        <v>17</v>
      </c>
      <c r="C7" s="11">
        <v>62.77</v>
      </c>
      <c r="D7" s="11">
        <v>0.77</v>
      </c>
      <c r="E7" s="12">
        <f t="shared" si="0"/>
        <v>12.267006531782698</v>
      </c>
      <c r="F7" s="1"/>
      <c r="G7" s="1"/>
      <c r="H7" s="26">
        <v>6</v>
      </c>
      <c r="I7" s="27" t="s">
        <v>18</v>
      </c>
    </row>
    <row r="8" spans="1:9" x14ac:dyDescent="0.25">
      <c r="A8" s="10">
        <v>2022</v>
      </c>
      <c r="B8" s="11" t="s">
        <v>19</v>
      </c>
      <c r="C8" s="11">
        <v>11.69</v>
      </c>
      <c r="D8" s="11">
        <v>7.69</v>
      </c>
      <c r="E8" s="12">
        <f t="shared" si="0"/>
        <v>657.82720273738244</v>
      </c>
      <c r="F8" s="1"/>
      <c r="G8" s="1"/>
      <c r="H8" s="26">
        <v>1</v>
      </c>
      <c r="I8" s="27" t="s">
        <v>20</v>
      </c>
    </row>
    <row r="9" spans="1:9" x14ac:dyDescent="0.25">
      <c r="A9" s="13">
        <v>2022</v>
      </c>
      <c r="B9" s="14" t="s">
        <v>21</v>
      </c>
      <c r="C9" s="14">
        <v>35.72</v>
      </c>
      <c r="D9" s="14">
        <v>1.7</v>
      </c>
      <c r="E9" s="15">
        <f t="shared" si="0"/>
        <v>47.592385218365067</v>
      </c>
      <c r="F9" s="1"/>
      <c r="G9" s="23" t="s">
        <v>22</v>
      </c>
      <c r="H9" s="26">
        <v>1</v>
      </c>
      <c r="I9" s="27" t="s">
        <v>23</v>
      </c>
    </row>
    <row r="10" spans="1:9" ht="15.75" x14ac:dyDescent="0.25">
      <c r="A10" s="7">
        <v>2023</v>
      </c>
      <c r="B10" s="16" t="s">
        <v>7</v>
      </c>
      <c r="C10" s="16">
        <v>5.9</v>
      </c>
      <c r="D10" s="16">
        <v>1.28</v>
      </c>
      <c r="E10" s="9">
        <f t="shared" si="0"/>
        <v>216.94915254237287</v>
      </c>
      <c r="F10" s="1"/>
      <c r="G10" s="23" t="s">
        <v>37</v>
      </c>
      <c r="H10" s="28">
        <f>(F26+F24)/2</f>
        <v>29.93</v>
      </c>
      <c r="I10" s="27" t="s">
        <v>24</v>
      </c>
    </row>
    <row r="11" spans="1:9" x14ac:dyDescent="0.25">
      <c r="A11" s="10">
        <v>2023</v>
      </c>
      <c r="B11" s="1" t="s">
        <v>9</v>
      </c>
      <c r="C11" s="1">
        <v>64.36</v>
      </c>
      <c r="D11" s="1">
        <v>31.73</v>
      </c>
      <c r="E11" s="12">
        <f t="shared" si="0"/>
        <v>493.00807955251707</v>
      </c>
      <c r="F11" s="1"/>
      <c r="G11" s="1"/>
      <c r="H11" s="26">
        <v>4</v>
      </c>
      <c r="I11" s="27" t="s">
        <v>25</v>
      </c>
    </row>
    <row r="12" spans="1:9" x14ac:dyDescent="0.25">
      <c r="A12" s="10">
        <v>2023</v>
      </c>
      <c r="B12" s="1" t="s">
        <v>11</v>
      </c>
      <c r="C12" s="1">
        <v>3.62</v>
      </c>
      <c r="D12" s="1">
        <v>3.49</v>
      </c>
      <c r="E12" s="12">
        <f t="shared" si="0"/>
        <v>964.08839779005518</v>
      </c>
      <c r="F12" s="1"/>
      <c r="G12" s="1"/>
      <c r="H12" s="29">
        <v>9</v>
      </c>
      <c r="I12" s="30" t="s">
        <v>26</v>
      </c>
    </row>
    <row r="13" spans="1:9" x14ac:dyDescent="0.25">
      <c r="A13" s="10">
        <v>2023</v>
      </c>
      <c r="B13" s="1" t="s">
        <v>13</v>
      </c>
      <c r="C13" s="1">
        <v>25</v>
      </c>
      <c r="D13" s="1">
        <v>0.59</v>
      </c>
      <c r="E13" s="12">
        <f t="shared" si="0"/>
        <v>23.6</v>
      </c>
      <c r="F13" s="1"/>
      <c r="G13" s="1"/>
      <c r="H13" s="1"/>
      <c r="I13" s="1"/>
    </row>
    <row r="14" spans="1:9" x14ac:dyDescent="0.25">
      <c r="A14" s="10">
        <v>2023</v>
      </c>
      <c r="B14" s="1" t="s">
        <v>15</v>
      </c>
      <c r="C14" s="1">
        <v>56.87</v>
      </c>
      <c r="D14" s="1">
        <v>0.27</v>
      </c>
      <c r="E14" s="12">
        <f t="shared" si="0"/>
        <v>4.7476701248461408</v>
      </c>
      <c r="F14" s="1"/>
      <c r="G14" s="1"/>
      <c r="H14" s="1"/>
      <c r="I14" s="1"/>
    </row>
    <row r="15" spans="1:9" x14ac:dyDescent="0.25">
      <c r="A15" s="10">
        <v>2023</v>
      </c>
      <c r="B15" s="1" t="s">
        <v>17</v>
      </c>
      <c r="C15" s="1">
        <v>65</v>
      </c>
      <c r="D15" s="1">
        <v>0.8</v>
      </c>
      <c r="E15" s="12">
        <f t="shared" si="0"/>
        <v>12.307692307692308</v>
      </c>
      <c r="F15" s="1"/>
      <c r="G15" s="1"/>
      <c r="H15" s="1"/>
      <c r="I15" s="1"/>
    </row>
    <row r="16" spans="1:9" x14ac:dyDescent="0.25">
      <c r="A16" s="10">
        <v>2023</v>
      </c>
      <c r="B16" s="1" t="s">
        <v>19</v>
      </c>
      <c r="C16" s="1">
        <v>10.48</v>
      </c>
      <c r="D16" s="1">
        <v>6.9</v>
      </c>
      <c r="E16" s="12">
        <f t="shared" si="0"/>
        <v>658.39694656488552</v>
      </c>
      <c r="F16" s="1"/>
      <c r="G16" s="1"/>
      <c r="H16" s="1"/>
      <c r="I16" s="1"/>
    </row>
    <row r="17" spans="1:9" ht="16.5" thickBot="1" x14ac:dyDescent="0.3">
      <c r="A17" s="13">
        <v>2023</v>
      </c>
      <c r="B17" s="17" t="s">
        <v>21</v>
      </c>
      <c r="C17" s="17">
        <v>48.59</v>
      </c>
      <c r="D17" s="17">
        <v>2.31</v>
      </c>
      <c r="E17" s="15">
        <f t="shared" si="0"/>
        <v>47.540646223502776</v>
      </c>
      <c r="F17" s="1"/>
      <c r="G17" s="5" t="s">
        <v>27</v>
      </c>
      <c r="H17" s="1"/>
      <c r="I17" s="1"/>
    </row>
    <row r="18" spans="1:9" x14ac:dyDescent="0.25">
      <c r="A18" s="1"/>
      <c r="B18" s="1"/>
      <c r="C18" s="1"/>
      <c r="D18" s="1"/>
      <c r="E18" s="2" t="s">
        <v>28</v>
      </c>
      <c r="F18" s="31" t="s">
        <v>29</v>
      </c>
      <c r="G18" s="32"/>
      <c r="H18" s="1"/>
      <c r="I18" s="1"/>
    </row>
    <row r="19" spans="1:9" ht="15.75" x14ac:dyDescent="0.25">
      <c r="A19" s="6">
        <v>2024</v>
      </c>
      <c r="B19" s="6" t="s">
        <v>7</v>
      </c>
      <c r="C19" s="6">
        <v>6.25</v>
      </c>
      <c r="D19" s="6">
        <v>1.35</v>
      </c>
      <c r="E19" s="4">
        <f>(1000*D19)/C19</f>
        <v>216</v>
      </c>
      <c r="F19" s="20">
        <v>216.56</v>
      </c>
      <c r="G19" s="21">
        <v>1</v>
      </c>
      <c r="H19" s="1"/>
      <c r="I19" s="1"/>
    </row>
    <row r="20" spans="1:9" ht="15.75" x14ac:dyDescent="0.25">
      <c r="A20" s="6">
        <v>2024</v>
      </c>
      <c r="B20" s="6" t="s">
        <v>9</v>
      </c>
      <c r="C20" s="6">
        <v>52.39</v>
      </c>
      <c r="D20" s="6">
        <v>25.83</v>
      </c>
      <c r="E20" s="4">
        <f t="shared" ref="E20:E26" si="1">(1000*D20)/C20</f>
        <v>493.03302156900173</v>
      </c>
      <c r="F20" s="20">
        <v>493.02</v>
      </c>
      <c r="G20" s="21">
        <v>2</v>
      </c>
      <c r="H20" s="1"/>
      <c r="I20" s="1"/>
    </row>
    <row r="21" spans="1:9" ht="15.75" x14ac:dyDescent="0.25">
      <c r="A21" s="6">
        <v>2024</v>
      </c>
      <c r="B21" s="6" t="s">
        <v>11</v>
      </c>
      <c r="C21" s="6">
        <v>2.65</v>
      </c>
      <c r="D21" s="6">
        <v>2.5499999999999998</v>
      </c>
      <c r="E21" s="4">
        <f t="shared" si="1"/>
        <v>962.2641509433962</v>
      </c>
      <c r="F21" s="20">
        <v>963.6</v>
      </c>
      <c r="G21" s="21">
        <v>3</v>
      </c>
      <c r="H21" s="1"/>
      <c r="I21" s="1"/>
    </row>
    <row r="22" spans="1:9" ht="15.75" x14ac:dyDescent="0.25">
      <c r="A22" s="6">
        <v>2024</v>
      </c>
      <c r="B22" s="6" t="s">
        <v>13</v>
      </c>
      <c r="C22" s="6">
        <v>32.630000000000003</v>
      </c>
      <c r="D22" s="6">
        <v>0.78</v>
      </c>
      <c r="E22" s="4">
        <f t="shared" si="1"/>
        <v>23.904382470119518</v>
      </c>
      <c r="F22" s="20">
        <v>23.74</v>
      </c>
      <c r="G22" s="21">
        <v>4</v>
      </c>
      <c r="H22" s="1"/>
      <c r="I22" s="1"/>
    </row>
    <row r="23" spans="1:9" ht="15.75" x14ac:dyDescent="0.25">
      <c r="A23" s="6">
        <v>2024</v>
      </c>
      <c r="B23" s="6" t="s">
        <v>15</v>
      </c>
      <c r="C23" s="6">
        <v>54.82</v>
      </c>
      <c r="D23" s="6">
        <v>0.26</v>
      </c>
      <c r="E23" s="4">
        <f t="shared" si="1"/>
        <v>4.7427946005107628</v>
      </c>
      <c r="F23" s="20">
        <v>4.76</v>
      </c>
      <c r="G23" s="21">
        <v>5</v>
      </c>
      <c r="H23" s="1"/>
      <c r="I23" s="1"/>
    </row>
    <row r="24" spans="1:9" ht="15.75" x14ac:dyDescent="0.25">
      <c r="A24" s="6">
        <v>2024</v>
      </c>
      <c r="B24" s="6" t="s">
        <v>17</v>
      </c>
      <c r="C24" s="6">
        <v>62.92</v>
      </c>
      <c r="D24" s="6">
        <v>0.77</v>
      </c>
      <c r="E24" s="4">
        <f t="shared" si="1"/>
        <v>12.237762237762237</v>
      </c>
      <c r="F24" s="20">
        <v>12.29</v>
      </c>
      <c r="G24" s="21">
        <v>6</v>
      </c>
      <c r="H24" s="1"/>
      <c r="I24" s="1"/>
    </row>
    <row r="25" spans="1:9" ht="15.75" x14ac:dyDescent="0.25">
      <c r="A25" s="6">
        <v>2024</v>
      </c>
      <c r="B25" s="6" t="s">
        <v>19</v>
      </c>
      <c r="C25" s="6">
        <v>10.119999999999999</v>
      </c>
      <c r="D25" s="6">
        <v>6.66</v>
      </c>
      <c r="E25" s="4">
        <f t="shared" si="1"/>
        <v>658.102766798419</v>
      </c>
      <c r="F25" s="20">
        <v>658.11</v>
      </c>
      <c r="G25" s="21">
        <v>7</v>
      </c>
      <c r="H25" s="1"/>
      <c r="I25" s="1"/>
    </row>
    <row r="26" spans="1:9" ht="15.75" x14ac:dyDescent="0.25">
      <c r="A26" s="6">
        <v>2024</v>
      </c>
      <c r="B26" s="6" t="s">
        <v>21</v>
      </c>
      <c r="C26" s="6">
        <v>58.6</v>
      </c>
      <c r="D26" s="6">
        <v>2.78</v>
      </c>
      <c r="E26" s="4">
        <f t="shared" si="1"/>
        <v>47.44027303754266</v>
      </c>
      <c r="F26" s="20">
        <v>47.57</v>
      </c>
      <c r="G26" s="21">
        <v>8</v>
      </c>
      <c r="H26" s="1"/>
      <c r="I26" s="1"/>
    </row>
    <row r="27" spans="1:9" ht="15.75" x14ac:dyDescent="0.25">
      <c r="A27" s="6">
        <v>2024</v>
      </c>
      <c r="B27" s="6" t="s">
        <v>30</v>
      </c>
      <c r="C27" s="1" t="s">
        <v>31</v>
      </c>
      <c r="D27" s="1" t="s">
        <v>31</v>
      </c>
      <c r="E27" s="1" t="s">
        <v>31</v>
      </c>
      <c r="F27" s="22">
        <f>(D30+D31)/2</f>
        <v>758.72104623533039</v>
      </c>
      <c r="G27" s="21">
        <v>9</v>
      </c>
      <c r="H27" s="1"/>
      <c r="I27" s="1"/>
    </row>
    <row r="28" spans="1:9" x14ac:dyDescent="0.25">
      <c r="A28" s="1"/>
      <c r="B28" s="1"/>
      <c r="C28" s="1"/>
      <c r="D28" s="1"/>
      <c r="E28" s="1"/>
      <c r="F28" s="18" t="s">
        <v>32</v>
      </c>
      <c r="G28" s="1"/>
      <c r="H28" s="1"/>
      <c r="I28" s="1"/>
    </row>
    <row r="29" spans="1:9" ht="15.75" x14ac:dyDescent="0.25">
      <c r="A29" s="19" t="s">
        <v>33</v>
      </c>
      <c r="B29" s="19" t="s">
        <v>34</v>
      </c>
      <c r="C29" s="19" t="s">
        <v>35</v>
      </c>
      <c r="D29" s="34" t="s">
        <v>36</v>
      </c>
      <c r="E29" s="1"/>
      <c r="F29" s="1"/>
      <c r="G29" s="1"/>
      <c r="H29" s="1"/>
      <c r="I29" s="1"/>
    </row>
    <row r="30" spans="1:9" x14ac:dyDescent="0.25">
      <c r="A30" s="19">
        <v>2022</v>
      </c>
      <c r="B30" s="19">
        <f>C4+C8</f>
        <v>19.55</v>
      </c>
      <c r="C30" s="19">
        <f>D4+D8</f>
        <v>15.260000000000002</v>
      </c>
      <c r="D30" s="33">
        <f>(1000*C30)/B30</f>
        <v>780.56265984654738</v>
      </c>
      <c r="E30" s="1"/>
      <c r="F30" s="1"/>
      <c r="G30" s="1"/>
      <c r="H30" s="1"/>
      <c r="I30" s="1"/>
    </row>
    <row r="31" spans="1:9" x14ac:dyDescent="0.25">
      <c r="A31" s="19">
        <v>2023</v>
      </c>
      <c r="B31" s="19">
        <f>C12+C16</f>
        <v>14.100000000000001</v>
      </c>
      <c r="C31" s="19">
        <f>D12+D16</f>
        <v>10.39</v>
      </c>
      <c r="D31" s="33">
        <f>(1000*C31)/B31</f>
        <v>736.87943262411341</v>
      </c>
      <c r="E31" s="1"/>
      <c r="F31" s="1"/>
      <c r="G31" s="1"/>
      <c r="H31" s="1"/>
      <c r="I31" s="1"/>
    </row>
    <row r="34" spans="1:2" x14ac:dyDescent="0.25">
      <c r="A34" t="s">
        <v>39</v>
      </c>
      <c r="B34" t="s">
        <v>38</v>
      </c>
    </row>
  </sheetData>
  <mergeCells count="1">
    <mergeCell ref="F18:G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RePack by Diakov</cp:lastModifiedBy>
  <dcterms:created xsi:type="dcterms:W3CDTF">2015-06-05T18:17:20Z</dcterms:created>
  <dcterms:modified xsi:type="dcterms:W3CDTF">2025-11-27T11:41:17Z</dcterms:modified>
</cp:coreProperties>
</file>